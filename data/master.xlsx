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34" documentId="13_ncr:1_{FB02597B-DDFD-481B-B7DE-A53AD49E1F6E}" xr6:coauthVersionLast="47" xr6:coauthVersionMax="47" xr10:uidLastSave="{43E09450-8B77-45B4-B1F8-E8972127F04D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4" i="1"/>
  <c r="D19" i="1"/>
  <c r="D15" i="1"/>
  <c r="D10" i="1"/>
  <c r="D12" i="1"/>
  <c r="D11" i="1"/>
  <c r="D18" i="1"/>
  <c r="D26" i="1"/>
  <c r="D3" i="1"/>
  <c r="D30" i="1"/>
  <c r="D20" i="1"/>
  <c r="D16" i="1"/>
  <c r="D23" i="1"/>
  <c r="D31" i="1"/>
  <c r="D5" i="1"/>
  <c r="D22" i="1"/>
  <c r="D28" i="1"/>
  <c r="D29" i="1"/>
  <c r="D13" i="1"/>
  <c r="D35" i="1"/>
  <c r="D21" i="1"/>
  <c r="D32" i="1"/>
  <c r="D14" i="1"/>
  <c r="D7" i="1"/>
  <c r="D6" i="1"/>
  <c r="D25" i="1"/>
  <c r="D9" i="1"/>
  <c r="D33" i="1"/>
  <c r="D34" i="1"/>
  <c r="D8" i="1"/>
  <c r="D24" i="1"/>
  <c r="D27" i="1"/>
  <c r="D2" i="1"/>
</calcChain>
</file>

<file path=xl/sharedStrings.xml><?xml version="1.0" encoding="utf-8"?>
<sst xmlns="http://schemas.openxmlformats.org/spreadsheetml/2006/main" count="106" uniqueCount="74">
  <si>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</si>
  <si>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</si>
  <si>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</si>
  <si>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</si>
  <si>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</si>
  <si>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</si>
  <si>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</si>
  <si>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</si>
  <si>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</si>
  <si>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</si>
  <si>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</si>
  <si>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</si>
  <si>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</si>
  <si>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</si>
  <si>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</si>
  <si>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</si>
  <si>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</si>
  <si>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</si>
  <si>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</si>
  <si>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</si>
  <si>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</si>
  <si>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</si>
  <si>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</si>
  <si>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</si>
  <si>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</si>
  <si>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</si>
  <si>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</si>
  <si>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</si>
  <si>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</si>
  <si>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</si>
  <si>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</si>
  <si>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</si>
  <si>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</si>
  <si>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</si>
  <si>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</si>
  <si>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</si>
  <si>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</si>
  <si>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</si>
  <si>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</si>
  <si>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</si>
  <si>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</si>
  <si>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</si>
  <si>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</si>
  <si>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</si>
  <si>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</si>
  <si>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</si>
  <si>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</si>
  <si>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</si>
  <si>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</si>
  <si>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</si>
  <si>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</si>
  <si>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</si>
  <si>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</si>
  <si>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</si>
  <si>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</si>
  <si>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</si>
  <si>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</si>
  <si>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</si>
  <si>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</si>
  <si>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</si>
  <si>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</si>
  <si>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</si>
  <si>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</si>
  <si>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</si>
  <si>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</si>
  <si>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</si>
  <si>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</si>
  <si>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</si>
  <si>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</si>
  <si>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</si>
  <si>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</si>
  <si>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</si>
  <si>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</si>
  <si>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GMMFAFA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</si>
</sst>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zoomScaleNormal="100" workbookViewId="0">
      <pane ySplit="1" topLeftCell="A2" activePane="bottomLeft" state="frozen"/>
      <selection pane="bottomLeft" activeCell="E35" sqref="E35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0</v>
      </c>
      <c r="D2" s="4" t="e">
        <f>_xlfn.XLOOKUP(C2,RTA_Rank!B:B,RTA_Rank!A:A,,-1)</f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>
        <v>0</v>
      </c>
      <c r="D3" s="4" t="e">
        <f>_xlfn.XLOOKUP(C3,RTA_Rank!B:B,RTA_Rank!A:A,,-1)</f>
        <v>#N/A</v>
      </c>
      <c r="E3" s="5" t="s">
        <v>5</v>
      </c>
    </row>
    <row r="4" spans="1:5" x14ac:dyDescent="0.3">
      <c r="A4" s="4" t="s">
        <v>72</v>
      </c>
      <c r="B4" s="5">
        <v>7351</v>
      </c>
      <c r="C4" s="4" t="e">
        <v>#N/A</v>
      </c>
      <c r="D4" s="4" t="e">
        <f>_xlfn.XLOOKUP(C4,RTA_Rank!B:B,RTA_Rank!A:A,,-1)</f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>
        <v>2155</v>
      </c>
      <c r="D5" s="4" t="str">
        <f>_xlfn.XLOOKUP(C5,RTA_Rank!B:B,RTA_Rank!A:A,,-1)</f>
        <v>Gold III</v>
      </c>
      <c r="E5" s="5" t="s">
        <v>5</v>
      </c>
    </row>
    <row r="6" spans="1:5" x14ac:dyDescent="0.3">
      <c r="A6" s="4" t="s">
        <v>35</v>
      </c>
      <c r="B6" s="4">
        <v>6654</v>
      </c>
      <c r="C6" s="4">
        <v>1000</v>
      </c>
      <c r="D6" s="4" t="str">
        <f>_xlfn.XLOOKUP(C6,RTA_Rank!B:B,RTA_Rank!A:A,,-1)</f>
        <v>Iron I</v>
      </c>
      <c r="E6" s="5" t="s">
        <v>5</v>
      </c>
    </row>
    <row r="7" spans="1:5" x14ac:dyDescent="0.3">
      <c r="A7" s="4" t="s">
        <v>34</v>
      </c>
      <c r="B7" s="4">
        <v>5161</v>
      </c>
      <c r="C7" s="4">
        <v>1300</v>
      </c>
      <c r="D7" s="4" t="str">
        <f>_xlfn.XLOOKUP(C7,RTA_Rank!B:B,RTA_Rank!A:A,,-1)</f>
        <v>Bronze I</v>
      </c>
      <c r="E7" s="5" t="s">
        <v>5</v>
      </c>
    </row>
    <row r="8" spans="1:5" x14ac:dyDescent="0.3">
      <c r="A8" s="4" t="s">
        <v>42</v>
      </c>
      <c r="B8" s="4">
        <v>3194</v>
      </c>
      <c r="C8" s="4" t="e">
        <v>#N/A</v>
      </c>
      <c r="D8" s="4" t="e">
        <f>_xlfn.XLOOKUP(C8,RTA_Rank!B:B,RTA_Rank!A:A,,-1)</f>
        <v>#N/A</v>
      </c>
      <c r="E8" s="5" t="s">
        <v>5</v>
      </c>
    </row>
    <row r="9" spans="1:5" x14ac:dyDescent="0.3">
      <c r="A9" s="4" t="s">
        <v>37</v>
      </c>
      <c r="B9" s="4">
        <v>804</v>
      </c>
      <c r="C9" s="4">
        <v>1000</v>
      </c>
      <c r="D9" s="4" t="str">
        <f>_xlfn.XLOOKUP(C9,RTA_Rank!B:B,RTA_Rank!A:A,,-1)</f>
        <v>Iron I</v>
      </c>
      <c r="E9" s="5" t="s">
        <v>5</v>
      </c>
    </row>
    <row r="10" spans="1:5" x14ac:dyDescent="0.3">
      <c r="A10" s="4" t="s">
        <v>14</v>
      </c>
      <c r="B10" s="5">
        <v>7042</v>
      </c>
      <c r="C10" s="4">
        <v>2515</v>
      </c>
      <c r="D10" s="4" t="str">
        <f>_xlfn.XLOOKUP(C10,RTA_Rank!B:B,RTA_Rank!A:A,,-1)</f>
        <v>Diamond I</v>
      </c>
      <c r="E10" s="5" t="s">
        <v>5</v>
      </c>
    </row>
    <row r="11" spans="1:5" x14ac:dyDescent="0.3">
      <c r="A11" s="4" t="s">
        <v>16</v>
      </c>
      <c r="B11" s="5">
        <v>9706</v>
      </c>
      <c r="C11" s="4">
        <v>2238</v>
      </c>
      <c r="D11" s="4" t="str">
        <f>_xlfn.XLOOKUP(C11,RTA_Rank!B:B,RTA_Rank!A:A,,-1)</f>
        <v>Platinum I</v>
      </c>
      <c r="E11" s="5" t="s">
        <v>5</v>
      </c>
    </row>
    <row r="12" spans="1:5" x14ac:dyDescent="0.3">
      <c r="A12" s="4" t="s">
        <v>15</v>
      </c>
      <c r="B12" s="5">
        <v>5464</v>
      </c>
      <c r="C12" s="4">
        <v>0</v>
      </c>
      <c r="D12" s="4" t="e">
        <f>_xlfn.XLOOKUP(C12,RTA_Rank!B:B,RTA_Rank!A:A,,-1)</f>
        <v>#N/A</v>
      </c>
      <c r="E12" s="5" t="s">
        <v>5</v>
      </c>
    </row>
    <row r="13" spans="1:5" x14ac:dyDescent="0.3">
      <c r="A13" s="4" t="s">
        <v>29</v>
      </c>
      <c r="B13" s="4">
        <v>7449</v>
      </c>
      <c r="C13" s="4">
        <v>1740</v>
      </c>
      <c r="D13" s="4" t="str">
        <f>_xlfn.XLOOKUP(C13,RTA_Rank!B:B,RTA_Rank!A:A,,-1)</f>
        <v>Silver II</v>
      </c>
      <c r="E13" s="5" t="s">
        <v>5</v>
      </c>
    </row>
    <row r="14" spans="1:5" x14ac:dyDescent="0.3">
      <c r="A14" s="4" t="s">
        <v>33</v>
      </c>
      <c r="B14" s="4">
        <v>3480</v>
      </c>
      <c r="C14" s="4">
        <v>1736</v>
      </c>
      <c r="D14" s="4" t="str">
        <f>_xlfn.XLOOKUP(C14,RTA_Rank!B:B,RTA_Rank!A:A,,-1)</f>
        <v>Silver II</v>
      </c>
      <c r="E14" s="5" t="s">
        <v>5</v>
      </c>
    </row>
    <row r="15" spans="1:5" x14ac:dyDescent="0.3">
      <c r="A15" s="4" t="s">
        <v>70</v>
      </c>
      <c r="B15" s="4">
        <v>3481</v>
      </c>
      <c r="C15" s="4" t="e">
        <v>#N/A</v>
      </c>
      <c r="D15" s="4" t="e">
        <f>_xlfn.XLOOKUP(C15,RTA_Rank!B:B,RTA_Rank!A:A,,-1)</f>
        <v>#N/A</v>
      </c>
      <c r="E15" s="5" t="s">
        <v>5</v>
      </c>
    </row>
    <row r="16" spans="1:5" x14ac:dyDescent="0.3">
      <c r="A16" s="4" t="s">
        <v>22</v>
      </c>
      <c r="B16" s="5">
        <v>5078</v>
      </c>
      <c r="C16" s="4">
        <v>2364</v>
      </c>
      <c r="D16" s="4" t="str">
        <f>_xlfn.XLOOKUP(C16,RTA_Rank!B:B,RTA_Rank!A:A,,-1)</f>
        <v>Platinum II</v>
      </c>
      <c r="E16" s="5" t="s">
        <v>5</v>
      </c>
    </row>
    <row r="17" spans="1:5" x14ac:dyDescent="0.3">
      <c r="A17" s="4" t="s">
        <v>73</v>
      </c>
      <c r="B17" s="5">
        <v>4713</v>
      </c>
      <c r="C17" s="4">
        <v>1080</v>
      </c>
      <c r="D17" s="4" t="str">
        <f>_xlfn.XLOOKUP(C17,RTA_Rank!B:B,RTA_Rank!A:A,,-1)</f>
        <v>Iron I</v>
      </c>
      <c r="E17" s="5" t="s">
        <v>5</v>
      </c>
    </row>
    <row r="18" spans="1:5" x14ac:dyDescent="0.3">
      <c r="A18" s="4" t="s">
        <v>17</v>
      </c>
      <c r="B18" s="5">
        <v>6455</v>
      </c>
      <c r="C18" s="4">
        <v>2393</v>
      </c>
      <c r="D18" s="4" t="str">
        <f>_xlfn.XLOOKUP(C18,RTA_Rank!B:B,RTA_Rank!A:A,,-1)</f>
        <v>Platinum II</v>
      </c>
      <c r="E18" s="5" t="s">
        <v>5</v>
      </c>
    </row>
    <row r="19" spans="1:5" x14ac:dyDescent="0.3">
      <c r="A19" s="4" t="s">
        <v>69</v>
      </c>
      <c r="B19" s="4">
        <v>2886</v>
      </c>
      <c r="C19" s="4">
        <v>1808</v>
      </c>
      <c r="D19" s="4" t="str">
        <f>_xlfn.XLOOKUP(C19,RTA_Rank!B:B,RTA_Rank!A:A,,-1)</f>
        <v>Silver III</v>
      </c>
      <c r="E19" s="5" t="s">
        <v>5</v>
      </c>
    </row>
    <row r="20" spans="1:5" x14ac:dyDescent="0.3">
      <c r="A20" s="4" t="s">
        <v>21</v>
      </c>
      <c r="B20" s="5">
        <v>1025</v>
      </c>
      <c r="C20" s="4">
        <v>2074</v>
      </c>
      <c r="D20" s="4" t="str">
        <f>_xlfn.XLOOKUP(C20,RTA_Rank!B:B,RTA_Rank!A:A,,-1)</f>
        <v>Gold II</v>
      </c>
      <c r="E20" s="5" t="s">
        <v>5</v>
      </c>
    </row>
    <row r="21" spans="1:5" x14ac:dyDescent="0.3">
      <c r="A21" s="4" t="s">
        <v>31</v>
      </c>
      <c r="B21" s="4">
        <v>3528</v>
      </c>
      <c r="C21" s="4">
        <v>1600</v>
      </c>
      <c r="D21" s="4" t="str">
        <f>_xlfn.XLOOKUP(C21,RTA_Rank!B:B,RTA_Rank!A:A,,-1)</f>
        <v>Silver I</v>
      </c>
      <c r="E21" s="5" t="s">
        <v>5</v>
      </c>
    </row>
    <row r="22" spans="1:5" x14ac:dyDescent="0.3">
      <c r="A22" s="4" t="s">
        <v>26</v>
      </c>
      <c r="B22" s="4">
        <v>168</v>
      </c>
      <c r="C22" s="4">
        <v>2173</v>
      </c>
      <c r="D22" s="4" t="str">
        <f>_xlfn.XLOOKUP(C22,RTA_Rank!B:B,RTA_Rank!A:A,,-1)</f>
        <v>Gold III</v>
      </c>
      <c r="E22" s="5" t="s">
        <v>5</v>
      </c>
    </row>
    <row r="23" spans="1:5" x14ac:dyDescent="0.3">
      <c r="A23" s="4" t="s">
        <v>23</v>
      </c>
      <c r="B23" s="5">
        <v>5101</v>
      </c>
      <c r="C23" s="4">
        <v>2302</v>
      </c>
      <c r="D23" s="4" t="str">
        <f>_xlfn.XLOOKUP(C23,RTA_Rank!B:B,RTA_Rank!A:A,,-1)</f>
        <v>Platinum II</v>
      </c>
      <c r="E23" s="5" t="s">
        <v>5</v>
      </c>
    </row>
    <row r="24" spans="1:5" x14ac:dyDescent="0.3">
      <c r="A24" s="4" t="s">
        <v>40</v>
      </c>
      <c r="B24" s="4">
        <v>2359</v>
      </c>
      <c r="C24" s="4" t="e">
        <v>#N/A</v>
      </c>
      <c r="D24" s="4" t="e">
        <f>_xlfn.XLOOKUP(C24,RTA_Rank!B:B,RTA_Rank!A:A,,-1)</f>
        <v>#N/A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1000</v>
      </c>
      <c r="D25" s="4" t="str">
        <f>_xlfn.XLOOKUP(C25,RTA_Rank!B:B,RTA_Rank!A:A,,-1)</f>
        <v>Iron I</v>
      </c>
      <c r="E25" s="5" t="s">
        <v>5</v>
      </c>
    </row>
    <row r="26" spans="1:5" x14ac:dyDescent="0.3">
      <c r="A26" s="4" t="s">
        <v>18</v>
      </c>
      <c r="B26" s="5">
        <v>8128</v>
      </c>
      <c r="C26" s="4">
        <v>2513</v>
      </c>
      <c r="D26" s="4" t="str">
        <f>_xlfn.XLOOKUP(C26,RTA_Rank!B:B,RTA_Rank!A:A,,-1)</f>
        <v>Diamond I</v>
      </c>
      <c r="E26" s="5" t="s">
        <v>5</v>
      </c>
    </row>
    <row r="27" spans="1:5" x14ac:dyDescent="0.3">
      <c r="A27" s="4" t="s">
        <v>41</v>
      </c>
      <c r="B27" s="4">
        <v>1004</v>
      </c>
      <c r="C27" s="4" t="e">
        <v>#N/A</v>
      </c>
      <c r="D27" s="4" t="e">
        <f>_xlfn.XLOOKUP(C27,RTA_Rank!B:B,RTA_Rank!A:A,,-1)</f>
        <v>#N/A</v>
      </c>
      <c r="E27" s="5" t="s">
        <v>5</v>
      </c>
    </row>
    <row r="28" spans="1:5" x14ac:dyDescent="0.3">
      <c r="A28" s="4" t="s">
        <v>27</v>
      </c>
      <c r="B28" s="4">
        <v>452</v>
      </c>
      <c r="C28" s="4">
        <v>2111</v>
      </c>
      <c r="D28" s="4" t="str">
        <f>_xlfn.XLOOKUP(C28,RTA_Rank!B:B,RTA_Rank!A:A,,-1)</f>
        <v>Gold III</v>
      </c>
      <c r="E28" s="5" t="s">
        <v>5</v>
      </c>
    </row>
    <row r="29" spans="1:5" x14ac:dyDescent="0.3">
      <c r="A29" s="4" t="s">
        <v>28</v>
      </c>
      <c r="B29" s="4">
        <v>9881</v>
      </c>
      <c r="C29" s="4">
        <v>2066</v>
      </c>
      <c r="D29" s="4" t="str">
        <f>_xlfn.XLOOKUP(C29,RTA_Rank!B:B,RTA_Rank!A:A,,-1)</f>
        <v>Gold II</v>
      </c>
      <c r="E29" s="5" t="s">
        <v>5</v>
      </c>
    </row>
    <row r="30" spans="1:5" x14ac:dyDescent="0.3">
      <c r="A30" s="4" t="s">
        <v>20</v>
      </c>
      <c r="B30" s="5">
        <v>7411</v>
      </c>
      <c r="C30" s="4">
        <v>2365</v>
      </c>
      <c r="D30" s="4" t="str">
        <f>_xlfn.XLOOKUP(C30,RTA_Rank!B:B,RTA_Rank!A:A,,-1)</f>
        <v>Platinum II</v>
      </c>
      <c r="E30" s="5" t="s">
        <v>5</v>
      </c>
    </row>
    <row r="31" spans="1:5" x14ac:dyDescent="0.3">
      <c r="A31" s="4" t="s">
        <v>24</v>
      </c>
      <c r="B31" s="5">
        <v>5566</v>
      </c>
      <c r="C31" s="4">
        <v>0</v>
      </c>
      <c r="D31" s="4" t="e">
        <f>_xlfn.XLOOKUP(C31,RTA_Rank!B:B,RTA_Rank!A:A,,-1)</f>
        <v>#N/A</v>
      </c>
      <c r="E31" s="5" t="s">
        <v>5</v>
      </c>
    </row>
    <row r="32" spans="1:5" x14ac:dyDescent="0.3">
      <c r="A32" s="4" t="s">
        <v>32</v>
      </c>
      <c r="B32" s="4">
        <v>8334</v>
      </c>
      <c r="C32" s="4">
        <v>1640</v>
      </c>
      <c r="D32" s="4" t="str">
        <f>_xlfn.XLOOKUP(C32,RTA_Rank!B:B,RTA_Rank!A:A,,-1)</f>
        <v>Silver I</v>
      </c>
      <c r="E32" s="5" t="s">
        <v>71</v>
      </c>
    </row>
    <row r="33" spans="1:5" x14ac:dyDescent="0.3">
      <c r="A33" s="4" t="s">
        <v>38</v>
      </c>
      <c r="B33" s="4">
        <v>7120</v>
      </c>
      <c r="C33" s="4" t="e">
        <v>#N/A</v>
      </c>
      <c r="D33" s="4" t="e">
        <f>_xlfn.XLOOKUP(C33,RTA_Rank!B:B,RTA_Rank!A:A,,-1)</f>
        <v>#N/A</v>
      </c>
      <c r="E33" s="5" t="s">
        <v>71</v>
      </c>
    </row>
    <row r="34" spans="1:5" x14ac:dyDescent="0.3">
      <c r="A34" s="4" t="s">
        <v>39</v>
      </c>
      <c r="B34" s="4">
        <v>3929</v>
      </c>
      <c r="C34" s="4" t="e">
        <v>#N/A</v>
      </c>
      <c r="D34" s="4" t="e">
        <f>_xlfn.XLOOKUP(C34,RTA_Rank!B:B,RTA_Rank!A:A,,-1)</f>
        <v>#N/A</v>
      </c>
      <c r="E34" s="5" t="s">
        <v>71</v>
      </c>
    </row>
    <row r="35" spans="1:5" x14ac:dyDescent="0.3">
      <c r="A35" s="4" t="s">
        <v>30</v>
      </c>
      <c r="B35" s="4">
        <v>5297</v>
      </c>
      <c r="C35" s="4">
        <v>1840</v>
      </c>
      <c r="D35" s="4" t="str">
        <f>_xlfn.XLOOKUP(C35,RTA_Rank!B:B,RTA_Rank!A:A,,-1)</f>
        <v>Silver III</v>
      </c>
      <c r="E35" s="5" t="s">
        <v>71</v>
      </c>
    </row>
  </sheetData>
  <sortState xmlns:xlrd2="http://schemas.microsoft.com/office/spreadsheetml/2017/richdata2" ref="A33:E35">
    <sortCondition ref="A32:A35"/>
  </sortState>
  <conditionalFormatting sqref="B1:B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2026-09-08T15:10:47Z</dcterms:modified>
</cp:coreProperties>
</file>